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Form" sheetId="1" state="visible" r:id="rId1"/>
    <sheet xmlns:r="http://schemas.openxmlformats.org/officeDocument/2006/relationships" name="Mail Output" sheetId="2" state="visible" r:id="rId2"/>
    <sheet xmlns:r="http://schemas.openxmlformats.org/officeDocument/2006/relationships" name="Customer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9A9186"/>
      <sz val="9"/>
    </font>
    <font>
      <name val="Arial"/>
      <b val="1"/>
      <color rgb="00FFFFFF"/>
      <sz val="9"/>
    </font>
    <font>
      <name val="Arial"/>
      <b val="1"/>
      <color rgb="000D1117"/>
      <sz val="10"/>
    </font>
    <font>
      <name val="Arial"/>
      <color rgb="001155CC"/>
      <sz val="10"/>
    </font>
    <font>
      <name val="Arial"/>
      <i val="1"/>
      <color rgb="0092600A"/>
      <sz val="9"/>
    </font>
    <font>
      <name val="Arial"/>
      <i val="1"/>
      <color rgb="001C4532"/>
      <sz val="9"/>
    </font>
    <font>
      <name val="Arial"/>
      <b val="1"/>
      <color rgb="00FFFFFF"/>
      <sz val="10"/>
    </font>
    <font>
      <name val="Arial"/>
      <b val="1"/>
      <color rgb="001155CC"/>
      <sz val="11"/>
    </font>
    <font>
      <name val="Arial"/>
      <color rgb="000D1117"/>
      <sz val="10"/>
    </font>
    <font>
      <name val="Arial"/>
      <color rgb="001155CC"/>
      <sz val="9"/>
    </font>
    <font>
      <name val="Arial"/>
      <i val="1"/>
      <color rgb="009A9186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0D1117"/>
      <sz val="11"/>
    </font>
    <font>
      <name val="Arial"/>
      <b val="1"/>
      <color rgb="002D6A4F"/>
      <sz val="10"/>
    </font>
    <font>
      <name val="Arial"/>
      <color rgb="009A9186"/>
      <sz val="10"/>
    </font>
  </fonts>
  <fills count="9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5F2EC"/>
      </patternFill>
    </fill>
    <fill>
      <patternFill patternType="solid">
        <fgColor rgb="001C4532"/>
      </patternFill>
    </fill>
    <fill>
      <patternFill patternType="solid">
        <fgColor rgb="00FFFFFF"/>
      </patternFill>
    </fill>
    <fill>
      <patternFill patternType="solid">
        <fgColor rgb="00FEF6E4"/>
      </patternFill>
    </fill>
    <fill>
      <patternFill patternType="solid">
        <fgColor rgb="00EAF3EE"/>
      </patternFill>
    </fill>
    <fill>
      <patternFill patternType="solid">
        <fgColor rgb="002D6A4F"/>
      </patternFill>
    </fill>
  </fills>
  <borders count="8">
    <border>
      <left/>
      <right/>
      <top/>
      <bottom/>
      <diagonal/>
    </border>
    <border>
      <left style="thin">
        <color rgb="00D4CFC4"/>
      </left>
      <right style="thin">
        <color rgb="00D4CFC4"/>
      </right>
      <top style="thin">
        <color rgb="00D4CFC4"/>
      </top>
      <bottom style="thin">
        <color rgb="00D4CFC4"/>
      </bottom>
    </border>
    <border>
      <left style="thin">
        <color rgb="00F5F2EC"/>
      </left>
      <right style="thin">
        <color rgb="00F5F2EC"/>
      </right>
      <top style="thin">
        <color rgb="00F5F2EC"/>
      </top>
      <bottom style="thin">
        <color rgb="00F5F2EC"/>
      </bottom>
    </border>
    <border>
      <left style="thin">
        <color rgb="001C4532"/>
      </left>
      <right style="thin">
        <color rgb="001C4532"/>
      </right>
      <top style="thin">
        <color rgb="001C4532"/>
      </top>
      <bottom style="thin">
        <color rgb="001C4532"/>
      </bottom>
    </border>
    <border>
      <left style="thin">
        <color rgb="00FEF6E4"/>
      </left>
      <right style="thin">
        <color rgb="00FEF6E4"/>
      </right>
      <top style="thin">
        <color rgb="00FEF6E4"/>
      </top>
      <bottom style="thin">
        <color rgb="00FEF6E4"/>
      </bottom>
    </border>
    <border>
      <left style="thin">
        <color rgb="00EAF3EE"/>
      </left>
      <right style="thin">
        <color rgb="00EAF3EE"/>
      </right>
      <top style="thin">
        <color rgb="00EAF3EE"/>
      </top>
      <bottom style="thin">
        <color rgb="00EAF3EE"/>
      </bottom>
    </border>
    <border>
      <left style="thin">
        <color rgb="002D6A4F"/>
      </left>
      <right style="thin">
        <color rgb="002D6A4F"/>
      </right>
      <top style="thin">
        <color rgb="002D6A4F"/>
      </top>
      <bottom style="thin">
        <color rgb="002D6A4F"/>
      </bottom>
    </border>
    <border>
      <left style="thin">
        <color rgb="000D1117"/>
      </left>
      <right style="thin">
        <color rgb="000D1117"/>
      </right>
      <top style="thin">
        <color rgb="000D1117"/>
      </top>
      <bottom style="thin">
        <color rgb="000D1117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4" applyAlignment="1" pivotButton="0" quotePrefix="0" xfId="0">
      <alignment horizontal="center" vertical="center"/>
    </xf>
    <xf numFmtId="0" fontId="7" fillId="7" borderId="5" applyAlignment="1" pivotButton="0" quotePrefix="0" xfId="0">
      <alignment horizontal="center" vertical="center"/>
    </xf>
    <xf numFmtId="0" fontId="8" fillId="8" borderId="6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8" fillId="8" borderId="6" applyAlignment="1" pivotButton="0" quotePrefix="0" xfId="0">
      <alignment horizontal="right" vertical="center"/>
    </xf>
    <xf numFmtId="0" fontId="0" fillId="8" borderId="0" pivotButton="0" quotePrefix="0" xfId="0"/>
    <xf numFmtId="0" fontId="3" fillId="2" borderId="7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0" fontId="8" fillId="8" borderId="6" applyAlignment="1" pivotButton="0" quotePrefix="0" xfId="0">
      <alignment horizontal="center" vertical="center"/>
    </xf>
    <xf numFmtId="0" fontId="13" fillId="2" borderId="7" applyAlignment="1" pivotButton="0" quotePrefix="0" xfId="0">
      <alignment horizontal="right" vertical="center"/>
    </xf>
    <xf numFmtId="0" fontId="13" fillId="2" borderId="7" applyAlignment="1" pivotButton="0" quotePrefix="0" xfId="0">
      <alignment horizontal="center" vertical="center"/>
    </xf>
    <xf numFmtId="0" fontId="0" fillId="2" borderId="0" pivotButton="0" quotePrefix="0" xfId="0"/>
    <xf numFmtId="0" fontId="14" fillId="2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14" fillId="2" borderId="7" applyAlignment="1" pivotButton="0" quotePrefix="0" xfId="0">
      <alignment horizontal="left" vertical="center"/>
    </xf>
    <xf numFmtId="0" fontId="14" fillId="2" borderId="7" applyAlignment="1" pivotButton="0" quotePrefix="0" xfId="0">
      <alignment horizontal="right" vertical="center"/>
    </xf>
    <xf numFmtId="0" fontId="14" fillId="2" borderId="7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22" customWidth="1" min="3" max="3"/>
    <col width="11" customWidth="1" min="4" max="4"/>
    <col width="11" customWidth="1" min="5" max="5"/>
    <col width="18" customWidth="1" min="6" max="6"/>
    <col width="16" customWidth="1" min="7" max="7"/>
  </cols>
  <sheetData>
    <row r="1" ht="36" customHeight="1">
      <c r="A1" s="1" t="inlineStr">
        <is>
          <t>JAGHI TRADE A/S  —  SUPPLIER ORDER FORM</t>
        </is>
      </c>
    </row>
    <row r="2" ht="16" customHeight="1">
      <c r="A2" s="2" t="inlineStr">
        <is>
          <t>STEP 1: Fill in Order Details below   ·   STEP 2: Fill in Departures   ·   STEP 3: Go to 'Mail Output' sheet, select table, Ctrl+C and paste into email</t>
        </is>
      </c>
    </row>
    <row r="3" ht="6" customHeight="1"/>
    <row r="4" ht="20" customHeight="1">
      <c r="A4" s="3" t="inlineStr">
        <is>
          <t>ORDER DETAILS</t>
        </is>
      </c>
    </row>
    <row r="5" ht="20" customHeight="1">
      <c r="A5" s="4" t="inlineStr">
        <is>
          <t>Supplier</t>
        </is>
      </c>
      <c r="B5" s="5" t="inlineStr">
        <is>
          <t>e.g. Spreafico, Brio, Eden...</t>
        </is>
      </c>
    </row>
    <row r="6" ht="20" customHeight="1">
      <c r="A6" s="4" t="inlineStr">
        <is>
          <t>Product</t>
        </is>
      </c>
      <c r="B6" s="5" t="inlineStr">
        <is>
          <t>e.g. Bio Kiwi 10x500g</t>
        </is>
      </c>
    </row>
    <row r="7" ht="20" customHeight="1">
      <c r="A7" s="4" t="inlineStr">
        <is>
          <t>Colli per pallet</t>
        </is>
      </c>
      <c r="B7" s="5" t="n">
        <v>88</v>
      </c>
    </row>
    <row r="8" ht="20" customHeight="1">
      <c r="A8" s="4" t="inlineStr">
        <is>
          <t>Private Label?</t>
        </is>
      </c>
      <c r="B8" s="5" t="inlineStr">
        <is>
          <t>Yes</t>
        </is>
      </c>
    </row>
    <row r="9" ht="20" customHeight="1">
      <c r="A9" s="4" t="inlineStr">
        <is>
          <t>Price (EUR/unit)</t>
        </is>
      </c>
      <c r="B9" s="5" t="inlineStr">
        <is>
          <t>e.g. EUR 1.68</t>
        </is>
      </c>
    </row>
    <row r="10" ht="20" customHeight="1">
      <c r="A10" s="4" t="inlineStr">
        <is>
          <t>Reference / Ref no.</t>
        </is>
      </c>
      <c r="B10" s="5" t="inlineStr"/>
    </row>
    <row r="11" ht="20" customHeight="1">
      <c r="A11" s="4" t="inlineStr">
        <is>
          <t>Additional notes</t>
        </is>
      </c>
      <c r="B11" s="5" t="inlineStr"/>
    </row>
    <row r="12" ht="6" customHeight="1"/>
    <row r="13" ht="16" customHeight="1">
      <c r="A13" s="6" t="inlineStr">
        <is>
          <t>Private Label:  Netto → ØGO  ·  Salling → Salling Øko  ·  Dagrofa → Gestus  ·  Coop → Änglamark</t>
        </is>
      </c>
    </row>
    <row r="14" ht="18" customHeight="1">
      <c r="A14" s="7" t="inlineStr">
        <is>
          <t>Pallet types:  Chep Smezzato EPS → Netto, Salling, Dagrofa, AxFood   ·   Euro Pedane Intere → Coop, Rema (&gt;10kg)   ·   Original EPAL Smezzato → Prima Frugt   ·   Always overrideable per line</t>
        </is>
      </c>
    </row>
    <row r="15" ht="8" customHeight="1"/>
    <row r="16" ht="20" customHeight="1">
      <c r="A16" s="3" t="inlineStr">
        <is>
          <t>DEPARTURES &amp; ORDER LINES</t>
        </is>
      </c>
    </row>
    <row r="17" ht="7" customHeight="1"/>
    <row r="18" ht="24" customHeight="1">
      <c r="A18" s="8" t="inlineStr">
        <is>
          <t>Departure 1   Date (Partenza):</t>
        </is>
      </c>
      <c r="B18" s="9" t="inlineStr"/>
      <c r="C18" s="10" t="inlineStr">
        <is>
          <t>Delivery date (DK):</t>
        </is>
      </c>
      <c r="D18" s="9" t="inlineStr"/>
      <c r="E18" s="11" t="n"/>
    </row>
    <row r="19" ht="18" customHeight="1">
      <c r="A19" s="12" t="inlineStr">
        <is>
          <t>Customer</t>
        </is>
      </c>
      <c r="B19" s="12" t="inlineStr">
        <is>
          <t>Private Label</t>
        </is>
      </c>
      <c r="C19" s="12" t="inlineStr">
        <is>
          <t>Pallets</t>
        </is>
      </c>
      <c r="D19" s="12" t="inlineStr">
        <is>
          <t>Colli (auto)</t>
        </is>
      </c>
      <c r="E19" s="12" t="inlineStr">
        <is>
          <t>Pallet type</t>
        </is>
      </c>
      <c r="F19" s="12" t="inlineStr">
        <is>
          <t>Box type</t>
        </is>
      </c>
      <c r="G19" s="12" t="inlineStr">
        <is>
          <t>Remarks</t>
        </is>
      </c>
    </row>
    <row r="20" ht="18" customHeight="1">
      <c r="A20" s="5" t="inlineStr"/>
      <c r="B20" s="13" t="inlineStr">
        <is>
          <t>–</t>
        </is>
      </c>
      <c r="C20" s="14" t="n">
        <v>0</v>
      </c>
      <c r="D20" s="15">
        <f>IF(C20&gt;0,C20*$B$7,"")</f>
        <v/>
      </c>
      <c r="E20" s="16" t="inlineStr">
        <is>
          <t>Chep Smezzato EPS</t>
        </is>
      </c>
      <c r="F20" s="14" t="inlineStr">
        <is>
          <t>EPS</t>
        </is>
      </c>
      <c r="G20" s="17" t="inlineStr"/>
    </row>
    <row r="21" ht="18" customHeight="1">
      <c r="A21" s="18" t="inlineStr"/>
      <c r="B21" s="13" t="inlineStr">
        <is>
          <t>–</t>
        </is>
      </c>
      <c r="C21" s="19" t="n">
        <v>0</v>
      </c>
      <c r="D21" s="15">
        <f>IF(C21&gt;0,C21*$B$7,"")</f>
        <v/>
      </c>
      <c r="E21" s="20" t="inlineStr">
        <is>
          <t>Chep Smezzato EPS</t>
        </is>
      </c>
      <c r="F21" s="19" t="inlineStr">
        <is>
          <t>EPS</t>
        </is>
      </c>
      <c r="G21" s="21" t="inlineStr"/>
    </row>
    <row r="22" ht="18" customHeight="1">
      <c r="A22" s="5" t="inlineStr"/>
      <c r="B22" s="13" t="inlineStr">
        <is>
          <t>–</t>
        </is>
      </c>
      <c r="C22" s="14" t="n">
        <v>0</v>
      </c>
      <c r="D22" s="15">
        <f>IF(C22&gt;0,C22*$B$7,"")</f>
        <v/>
      </c>
      <c r="E22" s="16" t="inlineStr">
        <is>
          <t>Chep Smezzato EPS</t>
        </is>
      </c>
      <c r="F22" s="14" t="inlineStr">
        <is>
          <t>EPS</t>
        </is>
      </c>
      <c r="G22" s="17" t="inlineStr"/>
    </row>
    <row r="23" ht="18" customHeight="1">
      <c r="A23" s="18" t="inlineStr"/>
      <c r="B23" s="13" t="inlineStr">
        <is>
          <t>–</t>
        </is>
      </c>
      <c r="C23" s="19" t="n">
        <v>0</v>
      </c>
      <c r="D23" s="15">
        <f>IF(C23&gt;0,C23*$B$7,"")</f>
        <v/>
      </c>
      <c r="E23" s="20" t="inlineStr">
        <is>
          <t>Chep Smezzato EPS</t>
        </is>
      </c>
      <c r="F23" s="19" t="inlineStr">
        <is>
          <t>EPS</t>
        </is>
      </c>
      <c r="G23" s="21" t="inlineStr"/>
    </row>
    <row r="24" ht="18" customHeight="1">
      <c r="A24" s="5" t="inlineStr"/>
      <c r="B24" s="13" t="inlineStr">
        <is>
          <t>–</t>
        </is>
      </c>
      <c r="C24" s="14" t="n">
        <v>0</v>
      </c>
      <c r="D24" s="15">
        <f>IF(C24&gt;0,C24*$B$7,"")</f>
        <v/>
      </c>
      <c r="E24" s="16" t="inlineStr">
        <is>
          <t>Chep Smezzato EPS</t>
        </is>
      </c>
      <c r="F24" s="14" t="inlineStr">
        <is>
          <t>EPS</t>
        </is>
      </c>
      <c r="G24" s="17" t="inlineStr"/>
    </row>
    <row r="25" ht="18" customHeight="1">
      <c r="A25" s="18" t="inlineStr"/>
      <c r="B25" s="13" t="inlineStr">
        <is>
          <t>–</t>
        </is>
      </c>
      <c r="C25" s="19" t="n">
        <v>0</v>
      </c>
      <c r="D25" s="15">
        <f>IF(C25&gt;0,C25*$B$7,"")</f>
        <v/>
      </c>
      <c r="E25" s="20" t="inlineStr">
        <is>
          <t>Chep Smezzato EPS</t>
        </is>
      </c>
      <c r="F25" s="19" t="inlineStr">
        <is>
          <t>EPS</t>
        </is>
      </c>
      <c r="G25" s="21" t="inlineStr"/>
    </row>
    <row r="26" ht="20" customHeight="1">
      <c r="A26" s="10" t="inlineStr">
        <is>
          <t>Subtotal</t>
        </is>
      </c>
      <c r="C26" s="22">
        <f>SUM(C20:C25)</f>
        <v/>
      </c>
      <c r="D26" s="22">
        <f>SUM(D20:D25)</f>
        <v/>
      </c>
      <c r="E26" s="11" t="n"/>
    </row>
    <row r="27" ht="7" customHeight="1"/>
    <row r="28" ht="24" customHeight="1">
      <c r="A28" s="8" t="inlineStr">
        <is>
          <t>Departure 2   Date (Partenza):</t>
        </is>
      </c>
      <c r="B28" s="9" t="inlineStr"/>
      <c r="C28" s="10" t="inlineStr">
        <is>
          <t>Delivery date (DK):</t>
        </is>
      </c>
      <c r="D28" s="9" t="inlineStr"/>
      <c r="E28" s="11" t="n"/>
    </row>
    <row r="29" ht="18" customHeight="1">
      <c r="A29" s="12" t="inlineStr">
        <is>
          <t>Customer</t>
        </is>
      </c>
      <c r="B29" s="12" t="inlineStr">
        <is>
          <t>Private Label</t>
        </is>
      </c>
      <c r="C29" s="12" t="inlineStr">
        <is>
          <t>Pallets</t>
        </is>
      </c>
      <c r="D29" s="12" t="inlineStr">
        <is>
          <t>Colli (auto)</t>
        </is>
      </c>
      <c r="E29" s="12" t="inlineStr">
        <is>
          <t>Pallet type</t>
        </is>
      </c>
      <c r="F29" s="12" t="inlineStr">
        <is>
          <t>Box type</t>
        </is>
      </c>
      <c r="G29" s="12" t="inlineStr">
        <is>
          <t>Remarks</t>
        </is>
      </c>
    </row>
    <row r="30" ht="18" customHeight="1">
      <c r="A30" s="5" t="inlineStr"/>
      <c r="B30" s="13" t="inlineStr">
        <is>
          <t>–</t>
        </is>
      </c>
      <c r="C30" s="14" t="n">
        <v>0</v>
      </c>
      <c r="D30" s="15">
        <f>IF(C30&gt;0,C30*$B$7,"")</f>
        <v/>
      </c>
      <c r="E30" s="16" t="inlineStr">
        <is>
          <t>Chep Smezzato EPS</t>
        </is>
      </c>
      <c r="F30" s="14" t="inlineStr">
        <is>
          <t>EPS</t>
        </is>
      </c>
      <c r="G30" s="17" t="inlineStr"/>
    </row>
    <row r="31" ht="18" customHeight="1">
      <c r="A31" s="18" t="inlineStr"/>
      <c r="B31" s="13" t="inlineStr">
        <is>
          <t>–</t>
        </is>
      </c>
      <c r="C31" s="19" t="n">
        <v>0</v>
      </c>
      <c r="D31" s="15">
        <f>IF(C31&gt;0,C31*$B$7,"")</f>
        <v/>
      </c>
      <c r="E31" s="20" t="inlineStr">
        <is>
          <t>Chep Smezzato EPS</t>
        </is>
      </c>
      <c r="F31" s="19" t="inlineStr">
        <is>
          <t>EPS</t>
        </is>
      </c>
      <c r="G31" s="21" t="inlineStr"/>
    </row>
    <row r="32" ht="18" customHeight="1">
      <c r="A32" s="5" t="inlineStr"/>
      <c r="B32" s="13" t="inlineStr">
        <is>
          <t>–</t>
        </is>
      </c>
      <c r="C32" s="14" t="n">
        <v>0</v>
      </c>
      <c r="D32" s="15">
        <f>IF(C32&gt;0,C32*$B$7,"")</f>
        <v/>
      </c>
      <c r="E32" s="16" t="inlineStr">
        <is>
          <t>Chep Smezzato EPS</t>
        </is>
      </c>
      <c r="F32" s="14" t="inlineStr">
        <is>
          <t>EPS</t>
        </is>
      </c>
      <c r="G32" s="17" t="inlineStr"/>
    </row>
    <row r="33" ht="18" customHeight="1">
      <c r="A33" s="18" t="inlineStr"/>
      <c r="B33" s="13" t="inlineStr">
        <is>
          <t>–</t>
        </is>
      </c>
      <c r="C33" s="19" t="n">
        <v>0</v>
      </c>
      <c r="D33" s="15">
        <f>IF(C33&gt;0,C33*$B$7,"")</f>
        <v/>
      </c>
      <c r="E33" s="20" t="inlineStr">
        <is>
          <t>Chep Smezzato EPS</t>
        </is>
      </c>
      <c r="F33" s="19" t="inlineStr">
        <is>
          <t>EPS</t>
        </is>
      </c>
      <c r="G33" s="21" t="inlineStr"/>
    </row>
    <row r="34" ht="18" customHeight="1">
      <c r="A34" s="5" t="inlineStr"/>
      <c r="B34" s="13" t="inlineStr">
        <is>
          <t>–</t>
        </is>
      </c>
      <c r="C34" s="14" t="n">
        <v>0</v>
      </c>
      <c r="D34" s="15">
        <f>IF(C34&gt;0,C34*$B$7,"")</f>
        <v/>
      </c>
      <c r="E34" s="16" t="inlineStr">
        <is>
          <t>Chep Smezzato EPS</t>
        </is>
      </c>
      <c r="F34" s="14" t="inlineStr">
        <is>
          <t>EPS</t>
        </is>
      </c>
      <c r="G34" s="17" t="inlineStr"/>
    </row>
    <row r="35" ht="18" customHeight="1">
      <c r="A35" s="18" t="inlineStr"/>
      <c r="B35" s="13" t="inlineStr">
        <is>
          <t>–</t>
        </is>
      </c>
      <c r="C35" s="19" t="n">
        <v>0</v>
      </c>
      <c r="D35" s="15">
        <f>IF(C35&gt;0,C35*$B$7,"")</f>
        <v/>
      </c>
      <c r="E35" s="20" t="inlineStr">
        <is>
          <t>Chep Smezzato EPS</t>
        </is>
      </c>
      <c r="F35" s="19" t="inlineStr">
        <is>
          <t>EPS</t>
        </is>
      </c>
      <c r="G35" s="21" t="inlineStr"/>
    </row>
    <row r="36" ht="20" customHeight="1">
      <c r="A36" s="10" t="inlineStr">
        <is>
          <t>Subtotal</t>
        </is>
      </c>
      <c r="C36" s="22">
        <f>SUM(C30:C35)</f>
        <v/>
      </c>
      <c r="D36" s="22">
        <f>SUM(D30:D35)</f>
        <v/>
      </c>
      <c r="E36" s="11" t="n"/>
    </row>
    <row r="37" ht="7" customHeight="1"/>
    <row r="38" ht="24" customHeight="1">
      <c r="A38" s="8" t="inlineStr">
        <is>
          <t>Departure 3   Date (Partenza):</t>
        </is>
      </c>
      <c r="B38" s="9" t="inlineStr"/>
      <c r="C38" s="10" t="inlineStr">
        <is>
          <t>Delivery date (DK):</t>
        </is>
      </c>
      <c r="D38" s="9" t="inlineStr"/>
      <c r="E38" s="11" t="n"/>
    </row>
    <row r="39" ht="18" customHeight="1">
      <c r="A39" s="12" t="inlineStr">
        <is>
          <t>Customer</t>
        </is>
      </c>
      <c r="B39" s="12" t="inlineStr">
        <is>
          <t>Private Label</t>
        </is>
      </c>
      <c r="C39" s="12" t="inlineStr">
        <is>
          <t>Pallets</t>
        </is>
      </c>
      <c r="D39" s="12" t="inlineStr">
        <is>
          <t>Colli (auto)</t>
        </is>
      </c>
      <c r="E39" s="12" t="inlineStr">
        <is>
          <t>Pallet type</t>
        </is>
      </c>
      <c r="F39" s="12" t="inlineStr">
        <is>
          <t>Box type</t>
        </is>
      </c>
      <c r="G39" s="12" t="inlineStr">
        <is>
          <t>Remarks</t>
        </is>
      </c>
    </row>
    <row r="40" ht="18" customHeight="1">
      <c r="A40" s="5" t="inlineStr"/>
      <c r="B40" s="13" t="inlineStr">
        <is>
          <t>–</t>
        </is>
      </c>
      <c r="C40" s="14" t="n">
        <v>0</v>
      </c>
      <c r="D40" s="15">
        <f>IF(C40&gt;0,C40*$B$7,"")</f>
        <v/>
      </c>
      <c r="E40" s="16" t="inlineStr">
        <is>
          <t>Chep Smezzato EPS</t>
        </is>
      </c>
      <c r="F40" s="14" t="inlineStr">
        <is>
          <t>EPS</t>
        </is>
      </c>
      <c r="G40" s="17" t="inlineStr"/>
    </row>
    <row r="41" ht="18" customHeight="1">
      <c r="A41" s="18" t="inlineStr"/>
      <c r="B41" s="13" t="inlineStr">
        <is>
          <t>–</t>
        </is>
      </c>
      <c r="C41" s="19" t="n">
        <v>0</v>
      </c>
      <c r="D41" s="15">
        <f>IF(C41&gt;0,C41*$B$7,"")</f>
        <v/>
      </c>
      <c r="E41" s="20" t="inlineStr">
        <is>
          <t>Chep Smezzato EPS</t>
        </is>
      </c>
      <c r="F41" s="19" t="inlineStr">
        <is>
          <t>EPS</t>
        </is>
      </c>
      <c r="G41" s="21" t="inlineStr"/>
    </row>
    <row r="42" ht="18" customHeight="1">
      <c r="A42" s="5" t="inlineStr"/>
      <c r="B42" s="13" t="inlineStr">
        <is>
          <t>–</t>
        </is>
      </c>
      <c r="C42" s="14" t="n">
        <v>0</v>
      </c>
      <c r="D42" s="15">
        <f>IF(C42&gt;0,C42*$B$7,"")</f>
        <v/>
      </c>
      <c r="E42" s="16" t="inlineStr">
        <is>
          <t>Chep Smezzato EPS</t>
        </is>
      </c>
      <c r="F42" s="14" t="inlineStr">
        <is>
          <t>EPS</t>
        </is>
      </c>
      <c r="G42" s="17" t="inlineStr"/>
    </row>
    <row r="43" ht="18" customHeight="1">
      <c r="A43" s="18" t="inlineStr"/>
      <c r="B43" s="13" t="inlineStr">
        <is>
          <t>–</t>
        </is>
      </c>
      <c r="C43" s="19" t="n">
        <v>0</v>
      </c>
      <c r="D43" s="15">
        <f>IF(C43&gt;0,C43*$B$7,"")</f>
        <v/>
      </c>
      <c r="E43" s="20" t="inlineStr">
        <is>
          <t>Chep Smezzato EPS</t>
        </is>
      </c>
      <c r="F43" s="19" t="inlineStr">
        <is>
          <t>EPS</t>
        </is>
      </c>
      <c r="G43" s="21" t="inlineStr"/>
    </row>
    <row r="44" ht="18" customHeight="1">
      <c r="A44" s="5" t="inlineStr"/>
      <c r="B44" s="13" t="inlineStr">
        <is>
          <t>–</t>
        </is>
      </c>
      <c r="C44" s="14" t="n">
        <v>0</v>
      </c>
      <c r="D44" s="15">
        <f>IF(C44&gt;0,C44*$B$7,"")</f>
        <v/>
      </c>
      <c r="E44" s="16" t="inlineStr">
        <is>
          <t>Chep Smezzato EPS</t>
        </is>
      </c>
      <c r="F44" s="14" t="inlineStr">
        <is>
          <t>EPS</t>
        </is>
      </c>
      <c r="G44" s="17" t="inlineStr"/>
    </row>
    <row r="45" ht="18" customHeight="1">
      <c r="A45" s="18" t="inlineStr"/>
      <c r="B45" s="13" t="inlineStr">
        <is>
          <t>–</t>
        </is>
      </c>
      <c r="C45" s="19" t="n">
        <v>0</v>
      </c>
      <c r="D45" s="15">
        <f>IF(C45&gt;0,C45*$B$7,"")</f>
        <v/>
      </c>
      <c r="E45" s="20" t="inlineStr">
        <is>
          <t>Chep Smezzato EPS</t>
        </is>
      </c>
      <c r="F45" s="19" t="inlineStr">
        <is>
          <t>EPS</t>
        </is>
      </c>
      <c r="G45" s="21" t="inlineStr"/>
    </row>
    <row r="46" ht="20" customHeight="1">
      <c r="A46" s="10" t="inlineStr">
        <is>
          <t>Subtotal</t>
        </is>
      </c>
      <c r="C46" s="22">
        <f>SUM(C40:C45)</f>
        <v/>
      </c>
      <c r="D46" s="22">
        <f>SUM(D40:D45)</f>
        <v/>
      </c>
      <c r="E46" s="11" t="n"/>
    </row>
    <row r="47" ht="8" customHeight="1"/>
    <row r="48" ht="28" customHeight="1">
      <c r="A48" s="23" t="inlineStr">
        <is>
          <t>TOTAL</t>
        </is>
      </c>
      <c r="C48" s="24">
        <f>C26+C36+C46</f>
        <v/>
      </c>
      <c r="D48" s="24">
        <f>D26+D36+D46</f>
        <v/>
      </c>
      <c r="E48" s="25" t="n"/>
    </row>
  </sheetData>
  <mergeCells count="24">
    <mergeCell ref="A48:B48"/>
    <mergeCell ref="A14:G14"/>
    <mergeCell ref="E28:G28"/>
    <mergeCell ref="A4:G4"/>
    <mergeCell ref="B8:G8"/>
    <mergeCell ref="A36:B36"/>
    <mergeCell ref="A13:G13"/>
    <mergeCell ref="E46:G46"/>
    <mergeCell ref="B10:G10"/>
    <mergeCell ref="E36:G36"/>
    <mergeCell ref="B9:G9"/>
    <mergeCell ref="A46:B46"/>
    <mergeCell ref="E26:G26"/>
    <mergeCell ref="B6:G6"/>
    <mergeCell ref="A26:B26"/>
    <mergeCell ref="A1:G1"/>
    <mergeCell ref="E38:G38"/>
    <mergeCell ref="B5:G5"/>
    <mergeCell ref="A16:G16"/>
    <mergeCell ref="E18:G18"/>
    <mergeCell ref="B7:G7"/>
    <mergeCell ref="E48:G48"/>
    <mergeCell ref="A2:G2"/>
    <mergeCell ref="B11:G11"/>
  </mergeCells>
  <dataValidations count="4">
    <dataValidation sqref="B8" showDropDown="0" showInputMessage="0" showErrorMessage="0" allowBlank="0" type="list">
      <formula1>"Yes,No"</formula1>
    </dataValidation>
    <dataValidation sqref="A20 A21 A22 A23 A24 A25 A30 A31 A32 A33 A34 A35 A40 A41 A42 A43 A44 A45" showDropDown="0" showInputMessage="0" showErrorMessage="0" allowBlank="1" type="list">
      <formula1>"Salling Ishøj,Salling Højbjerg,Netto Køge,Netto Aarslev,Coop Hasselager,Coop Brøndby,Rema 1000,Dagrofa Vejle,AxFood DAGAB (Sweden),CE Larsen Aarhus,Eurofrugt Hinnerup,Prima Frugt (Ishøj),Brdr. Kjær,Nemlig Brøndby"</formula1>
    </dataValidation>
    <dataValidation sqref="E20 E21 E22 E23 E24 E25 E30 E31 E32 E33 E34 E35 E40 E41 E42 E43 E44 E45" showDropDown="0" showInputMessage="0" showErrorMessage="0" allowBlank="0" type="list">
      <formula1>"Chep Smezzato EPS,Euro Pedane Intere,Original EPAL Smezzato,Chep Smezzato PAP"</formula1>
    </dataValidation>
    <dataValidation sqref="F20 F21 F22 F23 F24 F25 F30 F31 F32 F33 F34 F35 F40 F41 F42 F43 F44 F45" showDropDown="0" showInputMessage="0" showErrorMessage="0" allowBlank="0" type="list">
      <formula1>"EPS,PAP"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10" customWidth="1" min="4" max="4"/>
    <col width="10" customWidth="1" min="5" max="5"/>
  </cols>
  <sheetData>
    <row r="1" ht="30" customHeight="1">
      <c r="A1" s="26" t="inlineStr">
        <is>
          <t>MAIL OUTPUT  —  Select rows 4 onwards → Ctrl+C → Paste into email</t>
        </is>
      </c>
    </row>
    <row r="2" ht="15" customHeight="1">
      <c r="A2" s="2" t="inlineStr">
        <is>
          <t>This table updates automatically when you fill in the Order Form. Copy and paste directly into OWA/Outlook.</t>
        </is>
      </c>
    </row>
    <row r="3" ht="10" customHeight="1"/>
    <row r="4" ht="24" customHeight="1">
      <c r="A4" s="27">
        <f>'Order Form'!B6&amp;"     ·     Price: "&amp;'Order Form'!B9&amp;"     ·     "&amp;'Order Form'!B7&amp;" colli/ped.     ·     Private Label: "&amp;'Order Form'!B8</f>
        <v/>
      </c>
    </row>
    <row r="5" ht="8" customHeight="1"/>
    <row r="6" ht="22" customHeight="1">
      <c r="A6" s="28" t="inlineStr">
        <is>
          <t>Departure (Partenza)</t>
        </is>
      </c>
      <c r="B6" s="28" t="inlineStr">
        <is>
          <t>Delivery</t>
        </is>
      </c>
      <c r="C6" s="28" t="inlineStr">
        <is>
          <t>Customer</t>
        </is>
      </c>
      <c r="D6" s="28" t="inlineStr">
        <is>
          <t>Pallets</t>
        </is>
      </c>
      <c r="E6" s="28" t="inlineStr">
        <is>
          <t>Colli</t>
        </is>
      </c>
    </row>
    <row r="7" ht="18" customHeight="1">
      <c r="A7" s="29">
        <f>'Order Form'!B18</f>
        <v/>
      </c>
      <c r="B7" s="30">
        <f>'Order Form'!D18</f>
        <v/>
      </c>
      <c r="C7" s="31">
        <f>'Order Form'!A20</f>
        <v/>
      </c>
      <c r="D7" s="30">
        <f>IF('Order Form'!C20&gt;0,'Order Form'!C20,"")</f>
        <v/>
      </c>
      <c r="E7" s="30">
        <f>IF('Order Form'!D20&gt;0,'Order Form'!D20,"")</f>
        <v/>
      </c>
    </row>
    <row r="8" ht="18" customHeight="1">
      <c r="A8" s="32" t="inlineStr"/>
      <c r="B8" s="33" t="inlineStr"/>
      <c r="C8" s="32">
        <f>'Order Form'!A21</f>
        <v/>
      </c>
      <c r="D8" s="33">
        <f>IF('Order Form'!C21&gt;0,'Order Form'!C21,"")</f>
        <v/>
      </c>
      <c r="E8" s="33">
        <f>IF('Order Form'!D21&gt;0,'Order Form'!D21,"")</f>
        <v/>
      </c>
    </row>
    <row r="9" ht="18" customHeight="1">
      <c r="A9" s="31" t="inlineStr"/>
      <c r="B9" s="30" t="inlineStr"/>
      <c r="C9" s="31">
        <f>'Order Form'!A22</f>
        <v/>
      </c>
      <c r="D9" s="30">
        <f>IF('Order Form'!C22&gt;0,'Order Form'!C22,"")</f>
        <v/>
      </c>
      <c r="E9" s="30">
        <f>IF('Order Form'!D22&gt;0,'Order Form'!D22,"")</f>
        <v/>
      </c>
    </row>
    <row r="10" ht="18" customHeight="1">
      <c r="A10" s="32" t="inlineStr"/>
      <c r="B10" s="33" t="inlineStr"/>
      <c r="C10" s="32">
        <f>'Order Form'!A23</f>
        <v/>
      </c>
      <c r="D10" s="33">
        <f>IF('Order Form'!C23&gt;0,'Order Form'!C23,"")</f>
        <v/>
      </c>
      <c r="E10" s="33">
        <f>IF('Order Form'!D23&gt;0,'Order Form'!D23,"")</f>
        <v/>
      </c>
    </row>
    <row r="11" ht="18" customHeight="1">
      <c r="A11" s="31" t="inlineStr"/>
      <c r="B11" s="30" t="inlineStr"/>
      <c r="C11" s="31">
        <f>'Order Form'!A24</f>
        <v/>
      </c>
      <c r="D11" s="30">
        <f>IF('Order Form'!C24&gt;0,'Order Form'!C24,"")</f>
        <v/>
      </c>
      <c r="E11" s="30">
        <f>IF('Order Form'!D24&gt;0,'Order Form'!D24,"")</f>
        <v/>
      </c>
    </row>
    <row r="12" ht="18" customHeight="1">
      <c r="A12" s="32" t="inlineStr"/>
      <c r="B12" s="33" t="inlineStr"/>
      <c r="C12" s="32">
        <f>'Order Form'!A25</f>
        <v/>
      </c>
      <c r="D12" s="33">
        <f>IF('Order Form'!C25&gt;0,'Order Form'!C25,"")</f>
        <v/>
      </c>
      <c r="E12" s="33">
        <f>IF('Order Form'!D25&gt;0,'Order Form'!D25,"")</f>
        <v/>
      </c>
    </row>
    <row r="13" ht="18" customHeight="1">
      <c r="A13" s="21" t="inlineStr"/>
      <c r="B13" s="21" t="inlineStr"/>
      <c r="C13" s="34" t="inlineStr">
        <is>
          <t>Subtotal</t>
        </is>
      </c>
      <c r="D13" s="35">
        <f>'Order Form'!C26</f>
        <v/>
      </c>
      <c r="E13" s="35">
        <f>'Order Form'!D26</f>
        <v/>
      </c>
    </row>
    <row r="14" ht="18" customHeight="1">
      <c r="A14" s="29">
        <f>'Order Form'!B28</f>
        <v/>
      </c>
      <c r="B14" s="30">
        <f>'Order Form'!D28</f>
        <v/>
      </c>
      <c r="C14" s="31">
        <f>'Order Form'!A30</f>
        <v/>
      </c>
      <c r="D14" s="30">
        <f>IF('Order Form'!C30&gt;0,'Order Form'!C30,"")</f>
        <v/>
      </c>
      <c r="E14" s="30">
        <f>IF('Order Form'!D30&gt;0,'Order Form'!D30,"")</f>
        <v/>
      </c>
    </row>
    <row r="15" ht="18" customHeight="1">
      <c r="A15" s="32" t="inlineStr"/>
      <c r="B15" s="33" t="inlineStr"/>
      <c r="C15" s="32">
        <f>'Order Form'!A31</f>
        <v/>
      </c>
      <c r="D15" s="33">
        <f>IF('Order Form'!C31&gt;0,'Order Form'!C31,"")</f>
        <v/>
      </c>
      <c r="E15" s="33">
        <f>IF('Order Form'!D31&gt;0,'Order Form'!D31,"")</f>
        <v/>
      </c>
    </row>
    <row r="16" ht="18" customHeight="1">
      <c r="A16" s="31" t="inlineStr"/>
      <c r="B16" s="30" t="inlineStr"/>
      <c r="C16" s="31">
        <f>'Order Form'!A32</f>
        <v/>
      </c>
      <c r="D16" s="30">
        <f>IF('Order Form'!C32&gt;0,'Order Form'!C32,"")</f>
        <v/>
      </c>
      <c r="E16" s="30">
        <f>IF('Order Form'!D32&gt;0,'Order Form'!D32,"")</f>
        <v/>
      </c>
    </row>
    <row r="17" ht="18" customHeight="1">
      <c r="A17" s="32" t="inlineStr"/>
      <c r="B17" s="33" t="inlineStr"/>
      <c r="C17" s="32">
        <f>'Order Form'!A33</f>
        <v/>
      </c>
      <c r="D17" s="33">
        <f>IF('Order Form'!C33&gt;0,'Order Form'!C33,"")</f>
        <v/>
      </c>
      <c r="E17" s="33">
        <f>IF('Order Form'!D33&gt;0,'Order Form'!D33,"")</f>
        <v/>
      </c>
    </row>
    <row r="18" ht="18" customHeight="1">
      <c r="A18" s="31" t="inlineStr"/>
      <c r="B18" s="30" t="inlineStr"/>
      <c r="C18" s="31">
        <f>'Order Form'!A34</f>
        <v/>
      </c>
      <c r="D18" s="30">
        <f>IF('Order Form'!C34&gt;0,'Order Form'!C34,"")</f>
        <v/>
      </c>
      <c r="E18" s="30">
        <f>IF('Order Form'!D34&gt;0,'Order Form'!D34,"")</f>
        <v/>
      </c>
    </row>
    <row r="19" ht="18" customHeight="1">
      <c r="A19" s="32" t="inlineStr"/>
      <c r="B19" s="33" t="inlineStr"/>
      <c r="C19" s="32">
        <f>'Order Form'!A35</f>
        <v/>
      </c>
      <c r="D19" s="33">
        <f>IF('Order Form'!C35&gt;0,'Order Form'!C35,"")</f>
        <v/>
      </c>
      <c r="E19" s="33">
        <f>IF('Order Form'!D35&gt;0,'Order Form'!D35,"")</f>
        <v/>
      </c>
    </row>
    <row r="20" ht="18" customHeight="1">
      <c r="A20" s="21" t="inlineStr"/>
      <c r="B20" s="21" t="inlineStr"/>
      <c r="C20" s="34" t="inlineStr">
        <is>
          <t>Subtotal</t>
        </is>
      </c>
      <c r="D20" s="35">
        <f>'Order Form'!C36</f>
        <v/>
      </c>
      <c r="E20" s="35">
        <f>'Order Form'!D36</f>
        <v/>
      </c>
    </row>
    <row r="21" ht="18" customHeight="1">
      <c r="A21" s="29">
        <f>'Order Form'!B38</f>
        <v/>
      </c>
      <c r="B21" s="30">
        <f>'Order Form'!D38</f>
        <v/>
      </c>
      <c r="C21" s="31">
        <f>'Order Form'!A40</f>
        <v/>
      </c>
      <c r="D21" s="30">
        <f>IF('Order Form'!C40&gt;0,'Order Form'!C40,"")</f>
        <v/>
      </c>
      <c r="E21" s="30">
        <f>IF('Order Form'!D40&gt;0,'Order Form'!D40,"")</f>
        <v/>
      </c>
    </row>
    <row r="22" ht="18" customHeight="1">
      <c r="A22" s="32" t="inlineStr"/>
      <c r="B22" s="33" t="inlineStr"/>
      <c r="C22" s="32">
        <f>'Order Form'!A41</f>
        <v/>
      </c>
      <c r="D22" s="33">
        <f>IF('Order Form'!C41&gt;0,'Order Form'!C41,"")</f>
        <v/>
      </c>
      <c r="E22" s="33">
        <f>IF('Order Form'!D41&gt;0,'Order Form'!D41,"")</f>
        <v/>
      </c>
    </row>
    <row r="23" ht="18" customHeight="1">
      <c r="A23" s="31" t="inlineStr"/>
      <c r="B23" s="30" t="inlineStr"/>
      <c r="C23" s="31">
        <f>'Order Form'!A42</f>
        <v/>
      </c>
      <c r="D23" s="30">
        <f>IF('Order Form'!C42&gt;0,'Order Form'!C42,"")</f>
        <v/>
      </c>
      <c r="E23" s="30">
        <f>IF('Order Form'!D42&gt;0,'Order Form'!D42,"")</f>
        <v/>
      </c>
    </row>
    <row r="24" ht="18" customHeight="1">
      <c r="A24" s="32" t="inlineStr"/>
      <c r="B24" s="33" t="inlineStr"/>
      <c r="C24" s="32">
        <f>'Order Form'!A43</f>
        <v/>
      </c>
      <c r="D24" s="33">
        <f>IF('Order Form'!C43&gt;0,'Order Form'!C43,"")</f>
        <v/>
      </c>
      <c r="E24" s="33">
        <f>IF('Order Form'!D43&gt;0,'Order Form'!D43,"")</f>
        <v/>
      </c>
    </row>
    <row r="25" ht="18" customHeight="1">
      <c r="A25" s="31" t="inlineStr"/>
      <c r="B25" s="30" t="inlineStr"/>
      <c r="C25" s="31">
        <f>'Order Form'!A44</f>
        <v/>
      </c>
      <c r="D25" s="30">
        <f>IF('Order Form'!C44&gt;0,'Order Form'!C44,"")</f>
        <v/>
      </c>
      <c r="E25" s="30">
        <f>IF('Order Form'!D44&gt;0,'Order Form'!D44,"")</f>
        <v/>
      </c>
    </row>
    <row r="26" ht="18" customHeight="1">
      <c r="A26" s="32" t="inlineStr"/>
      <c r="B26" s="33" t="inlineStr"/>
      <c r="C26" s="32">
        <f>'Order Form'!A45</f>
        <v/>
      </c>
      <c r="D26" s="33">
        <f>IF('Order Form'!C45&gt;0,'Order Form'!C45,"")</f>
        <v/>
      </c>
      <c r="E26" s="33">
        <f>IF('Order Form'!D45&gt;0,'Order Form'!D45,"")</f>
        <v/>
      </c>
    </row>
    <row r="27" ht="18" customHeight="1">
      <c r="A27" s="21" t="inlineStr"/>
      <c r="B27" s="21" t="inlineStr"/>
      <c r="C27" s="34" t="inlineStr">
        <is>
          <t>Subtotal</t>
        </is>
      </c>
      <c r="D27" s="35">
        <f>'Order Form'!C46</f>
        <v/>
      </c>
      <c r="E27" s="35">
        <f>'Order Form'!D46</f>
        <v/>
      </c>
    </row>
    <row r="28" ht="26" customHeight="1">
      <c r="A28" s="36" t="inlineStr"/>
      <c r="B28" s="36" t="inlineStr"/>
      <c r="C28" s="37" t="inlineStr">
        <is>
          <t>TOTAL</t>
        </is>
      </c>
      <c r="D28" s="38">
        <f>'Order Form'!C48</f>
        <v/>
      </c>
      <c r="E28" s="38">
        <f>'Order Form'!D48</f>
        <v/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28" customWidth="1" min="4" max="4"/>
  </cols>
  <sheetData>
    <row r="1" ht="28" customHeight="1">
      <c r="A1" s="26" t="inlineStr">
        <is>
          <t>CUSTOMER REFERENCE — Private Label Names &amp; Default Pallet Types</t>
        </is>
      </c>
    </row>
    <row r="2" ht="18" customHeight="1">
      <c r="A2" s="3" t="inlineStr">
        <is>
          <t>Customer</t>
        </is>
      </c>
      <c r="B2" s="3" t="inlineStr">
        <is>
          <t>Private Label</t>
        </is>
      </c>
      <c r="C2" s="3" t="inlineStr">
        <is>
          <t>Default pallet type</t>
        </is>
      </c>
      <c r="D2" s="3" t="inlineStr">
        <is>
          <t>Notes</t>
        </is>
      </c>
    </row>
    <row r="3" ht="18" customHeight="1">
      <c r="A3" s="29" t="inlineStr">
        <is>
          <t>Salling Ishøj</t>
        </is>
      </c>
      <c r="B3" s="39" t="inlineStr">
        <is>
          <t>Salling Øko</t>
        </is>
      </c>
      <c r="C3" s="31" t="inlineStr">
        <is>
          <t>Chep Smezzato EPS</t>
        </is>
      </c>
      <c r="D3" s="40" t="inlineStr"/>
    </row>
    <row r="4" ht="18" customHeight="1">
      <c r="A4" s="4" t="inlineStr">
        <is>
          <t>Salling Højbjerg</t>
        </is>
      </c>
      <c r="B4" s="41" t="inlineStr">
        <is>
          <t>Salling Øko</t>
        </is>
      </c>
      <c r="C4" s="32" t="inlineStr">
        <is>
          <t>Chep Smezzato EPS</t>
        </is>
      </c>
      <c r="D4" s="42" t="inlineStr"/>
    </row>
    <row r="5" ht="18" customHeight="1">
      <c r="A5" s="29" t="inlineStr">
        <is>
          <t>Netto Køge</t>
        </is>
      </c>
      <c r="B5" s="39" t="inlineStr">
        <is>
          <t>ØGO</t>
        </is>
      </c>
      <c r="C5" s="31" t="inlineStr">
        <is>
          <t>Chep Smezzato EPS</t>
        </is>
      </c>
      <c r="D5" s="40" t="inlineStr"/>
    </row>
    <row r="6" ht="18" customHeight="1">
      <c r="A6" s="4" t="inlineStr">
        <is>
          <t>Netto Aarslev</t>
        </is>
      </c>
      <c r="B6" s="41" t="inlineStr">
        <is>
          <t>ØGO</t>
        </is>
      </c>
      <c r="C6" s="32" t="inlineStr">
        <is>
          <t>Chep Smezzato EPS</t>
        </is>
      </c>
      <c r="D6" s="42" t="inlineStr"/>
    </row>
    <row r="7" ht="18" customHeight="1">
      <c r="A7" s="29" t="inlineStr">
        <is>
          <t>Coop Hasselager</t>
        </is>
      </c>
      <c r="B7" s="39" t="inlineStr">
        <is>
          <t>Änglamark</t>
        </is>
      </c>
      <c r="C7" s="31" t="inlineStr">
        <is>
          <t>Euro Pedane Intere</t>
        </is>
      </c>
      <c r="D7" s="40" t="inlineStr">
        <is>
          <t>Always PAP boxes</t>
        </is>
      </c>
    </row>
    <row r="8" ht="18" customHeight="1">
      <c r="A8" s="4" t="inlineStr">
        <is>
          <t>Coop Brøndby</t>
        </is>
      </c>
      <c r="B8" s="41" t="inlineStr">
        <is>
          <t>Änglamark</t>
        </is>
      </c>
      <c r="C8" s="32" t="inlineStr">
        <is>
          <t>Euro Pedane Intere</t>
        </is>
      </c>
      <c r="D8" s="42" t="inlineStr">
        <is>
          <t>Always PAP boxes</t>
        </is>
      </c>
    </row>
    <row r="9" ht="18" customHeight="1">
      <c r="A9" s="29" t="inlineStr">
        <is>
          <t>Rema 1000</t>
        </is>
      </c>
      <c r="B9" s="43" t="inlineStr">
        <is>
          <t>–</t>
        </is>
      </c>
      <c r="C9" s="31" t="inlineStr">
        <is>
          <t>Euro Pedane Intere</t>
        </is>
      </c>
      <c r="D9" s="40" t="inlineStr">
        <is>
          <t>Euro Pedane Intere if &gt;10kg; Chep Smezzato EPS if &lt;10kg</t>
        </is>
      </c>
    </row>
    <row r="10" ht="18" customHeight="1">
      <c r="A10" s="4" t="inlineStr">
        <is>
          <t>Dagrofa Vejle</t>
        </is>
      </c>
      <c r="B10" s="41" t="inlineStr">
        <is>
          <t>Gestus</t>
        </is>
      </c>
      <c r="C10" s="32" t="inlineStr">
        <is>
          <t>Chep Smezzato EPS</t>
        </is>
      </c>
      <c r="D10" s="42" t="inlineStr"/>
    </row>
    <row r="11" ht="18" customHeight="1">
      <c r="A11" s="29" t="inlineStr">
        <is>
          <t>AxFood DAGAB (Sweden)</t>
        </is>
      </c>
      <c r="B11" s="43" t="inlineStr">
        <is>
          <t>–</t>
        </is>
      </c>
      <c r="C11" s="31" t="inlineStr">
        <is>
          <t>Chep Smezzato EPS</t>
        </is>
      </c>
      <c r="D11" s="40" t="inlineStr">
        <is>
          <t>Always PAP boxes</t>
        </is>
      </c>
    </row>
    <row r="12" ht="18" customHeight="1">
      <c r="A12" s="4" t="inlineStr">
        <is>
          <t>CE Larsen Aarhus</t>
        </is>
      </c>
      <c r="B12" s="44" t="inlineStr">
        <is>
          <t>–</t>
        </is>
      </c>
      <c r="C12" s="32" t="inlineStr">
        <is>
          <t>Chep Smezzato EPS</t>
        </is>
      </c>
      <c r="D12" s="42" t="inlineStr"/>
    </row>
    <row r="13" ht="18" customHeight="1">
      <c r="A13" s="29" t="inlineStr">
        <is>
          <t>Eurofrugt Hinnerup</t>
        </is>
      </c>
      <c r="B13" s="43" t="inlineStr">
        <is>
          <t>–</t>
        </is>
      </c>
      <c r="C13" s="31" t="inlineStr">
        <is>
          <t>Chep Smezzato EPS</t>
        </is>
      </c>
      <c r="D13" s="40" t="inlineStr"/>
    </row>
    <row r="14" ht="18" customHeight="1">
      <c r="A14" s="4" t="inlineStr">
        <is>
          <t>Prima Frugt (Ishøj)</t>
        </is>
      </c>
      <c r="B14" s="44" t="inlineStr">
        <is>
          <t>–</t>
        </is>
      </c>
      <c r="C14" s="32" t="inlineStr">
        <is>
          <t>Original EPAL Smezzato</t>
        </is>
      </c>
      <c r="D14" s="42" t="inlineStr"/>
    </row>
    <row r="15" ht="18" customHeight="1">
      <c r="A15" s="29" t="inlineStr">
        <is>
          <t>Brdr. Kjær</t>
        </is>
      </c>
      <c r="B15" s="43" t="inlineStr">
        <is>
          <t>–</t>
        </is>
      </c>
      <c r="C15" s="31" t="inlineStr">
        <is>
          <t>Chep Smezzato EPS</t>
        </is>
      </c>
      <c r="D15" s="40" t="inlineStr"/>
    </row>
    <row r="16" ht="18" customHeight="1">
      <c r="A16" s="4" t="inlineStr">
        <is>
          <t>Nemlig Brøndby</t>
        </is>
      </c>
      <c r="B16" s="44" t="inlineStr">
        <is>
          <t>–</t>
        </is>
      </c>
      <c r="C16" s="32" t="inlineStr">
        <is>
          <t>Chep Smezzato EPS</t>
        </is>
      </c>
      <c r="D16" s="42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2026-05-07T14:30:44Z</dcterms:created>
  <dcterms:modified xmlns:dcterms="http://purl.org/dc/terms/" xmlns:xsi="http://www.w3.org/2001/XMLSchema-instance" xsi:type="dcterms:W3CDTF">2026-05-07T14:30:44Z</dcterms:modified>
</cp:coreProperties>
</file>